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esktop\HC DCAC\compliance-system\"/>
    </mc:Choice>
  </mc:AlternateContent>
  <xr:revisionPtr revIDLastSave="0" documentId="8_{F6BD3D70-F58A-49DF-8396-625AD55932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" i="1" l="1"/>
  <c r="F9" i="1"/>
  <c r="F10" i="1"/>
  <c r="F11" i="1"/>
  <c r="F7" i="1"/>
  <c r="F13" i="1" l="1"/>
  <c r="F15" i="1" s="1"/>
</calcChain>
</file>

<file path=xl/sharedStrings.xml><?xml version="1.0" encoding="utf-8"?>
<sst xmlns="http://schemas.openxmlformats.org/spreadsheetml/2006/main" count="49" uniqueCount="32">
  <si>
    <t>Bajo</t>
  </si>
  <si>
    <t>Medio</t>
  </si>
  <si>
    <t>Alto</t>
  </si>
  <si>
    <t>Factor de Riesgo</t>
  </si>
  <si>
    <t>Valor de Riesgo</t>
  </si>
  <si>
    <t>Ponderación (%)</t>
  </si>
  <si>
    <t>Residencia</t>
  </si>
  <si>
    <t>1 (Bajo), 3 (Medio), 5 (Alto)</t>
  </si>
  <si>
    <t>Nacionalidad</t>
  </si>
  <si>
    <t>Actividad</t>
  </si>
  <si>
    <t>Antigüedad</t>
  </si>
  <si>
    <t>1 (mayor a 24 meses),5 (menor a 24 meses)</t>
  </si>
  <si>
    <t>Materialidad</t>
  </si>
  <si>
    <t>Matriz de riesgo - Modelo</t>
  </si>
  <si>
    <t>Valor</t>
  </si>
  <si>
    <t>1,00 a 2,00</t>
  </si>
  <si>
    <t>2,01 a 3,00</t>
  </si>
  <si>
    <t>3,01 a 5,00</t>
  </si>
  <si>
    <t>CARGA</t>
  </si>
  <si>
    <t>Ponderación</t>
  </si>
  <si>
    <r>
      <t>Nivel de</t>
    </r>
    <r>
      <rPr>
        <b/>
        <sz val="10"/>
        <color rgb="FF000000"/>
        <rFont val="Arial"/>
        <family val="2"/>
      </rPr>
      <t xml:space="preserve"> Riesgo</t>
    </r>
  </si>
  <si>
    <t>RIESGO</t>
  </si>
  <si>
    <t>PEP</t>
  </si>
  <si>
    <t>N/A</t>
  </si>
  <si>
    <t>Si o No</t>
  </si>
  <si>
    <t>Completar SI o NO</t>
  </si>
  <si>
    <t>No</t>
  </si>
  <si>
    <t>Monotributista</t>
  </si>
  <si>
    <t>Persona Juridica</t>
  </si>
  <si>
    <t>DIRECTAMENTE RIESGO ALTO</t>
  </si>
  <si>
    <t>Si es PEP</t>
  </si>
  <si>
    <t>SI alguna persona es PEP directamente pasa a ser riesgo 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</si>
</sst>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topLeftCell="A4" zoomScale="79" workbookViewId="0">
      <selection activeCell="I13" sqref="I13"/>
    </sheetView>
  </sheetViews>
  <sheetFormatPr baseColWidth="10" defaultColWidth="8.77734375" defaultRowHeight="13.2" x14ac:dyDescent="0.25"/>
  <cols>
    <col min="1" max="1" width="25.6640625" style="2" customWidth="1"/>
    <col min="2" max="2" width="19.21875" style="2" customWidth="1"/>
    <col min="3" max="3" width="13.77734375" style="2" customWidth="1"/>
    <col min="4" max="4" width="7.5546875" style="2" customWidth="1"/>
    <col min="5" max="5" width="8.77734375" style="2"/>
    <col min="6" max="6" width="12.6640625" style="2" customWidth="1"/>
    <col min="7" max="8" width="8.77734375" style="2"/>
    <col min="9" max="9" width="17.5546875" style="2" customWidth="1"/>
    <col min="10" max="10" width="19.33203125" style="2" customWidth="1"/>
    <col min="11" max="11" width="20.88671875" style="2" customWidth="1"/>
    <col min="12" max="16384" width="8.77734375" style="2"/>
  </cols>
  <sheetData>
    <row r="1" spans="1:11" x14ac:dyDescent="0.25">
      <c r="A1" s="1" t="s">
        <v>13</v>
      </c>
    </row>
    <row r="4" spans="1:11" ht="13.8" thickBot="1" x14ac:dyDescent="0.3">
      <c r="A4" s="2" t="s">
        <v>27</v>
      </c>
      <c r="I4" s="2" t="s">
        <v>28</v>
      </c>
    </row>
    <row r="5" spans="1:11" ht="40.200000000000003" thickBot="1" x14ac:dyDescent="0.3">
      <c r="A5" s="3" t="s">
        <v>3</v>
      </c>
      <c r="B5" s="3" t="s">
        <v>4</v>
      </c>
      <c r="C5" s="3" t="s">
        <v>5</v>
      </c>
      <c r="E5" s="3" t="s">
        <v>18</v>
      </c>
      <c r="F5" s="3" t="s">
        <v>19</v>
      </c>
      <c r="I5" s="3" t="s">
        <v>3</v>
      </c>
      <c r="J5" s="3" t="s">
        <v>4</v>
      </c>
      <c r="K5" s="3" t="s">
        <v>5</v>
      </c>
    </row>
    <row r="6" spans="1:11" ht="13.8" thickBot="1" x14ac:dyDescent="0.3">
      <c r="A6" s="4" t="s">
        <v>22</v>
      </c>
      <c r="B6" s="5" t="s">
        <v>24</v>
      </c>
      <c r="C6" s="5" t="s">
        <v>23</v>
      </c>
      <c r="E6" s="10" t="s">
        <v>26</v>
      </c>
      <c r="F6" s="13" t="s">
        <v>25</v>
      </c>
      <c r="I6" s="4" t="s">
        <v>22</v>
      </c>
      <c r="J6" s="5" t="s">
        <v>24</v>
      </c>
      <c r="K6" s="5" t="s">
        <v>23</v>
      </c>
    </row>
    <row r="7" spans="1:11" ht="27" thickBot="1" x14ac:dyDescent="0.3">
      <c r="A7" s="4" t="s">
        <v>6</v>
      </c>
      <c r="B7" s="5" t="s">
        <v>7</v>
      </c>
      <c r="C7" s="5">
        <v>10</v>
      </c>
      <c r="E7" s="10">
        <v>1</v>
      </c>
      <c r="F7" s="11">
        <f>+E7*C7/100</f>
        <v>0.1</v>
      </c>
      <c r="I7" s="4" t="s">
        <v>6</v>
      </c>
      <c r="J7" s="5" t="s">
        <v>7</v>
      </c>
      <c r="K7" s="5">
        <v>20</v>
      </c>
    </row>
    <row r="8" spans="1:11" ht="27" thickBot="1" x14ac:dyDescent="0.3">
      <c r="A8" s="4" t="s">
        <v>8</v>
      </c>
      <c r="B8" s="5" t="s">
        <v>7</v>
      </c>
      <c r="C8" s="5">
        <v>10</v>
      </c>
      <c r="E8" s="10">
        <v>1</v>
      </c>
      <c r="F8" s="11">
        <f t="shared" ref="F8:F11" si="0">+E8*C8/100</f>
        <v>0.1</v>
      </c>
      <c r="I8" s="4" t="s">
        <v>9</v>
      </c>
      <c r="J8" s="5" t="s">
        <v>7</v>
      </c>
      <c r="K8" s="5">
        <v>30</v>
      </c>
    </row>
    <row r="9" spans="1:11" ht="40.200000000000003" thickBot="1" x14ac:dyDescent="0.3">
      <c r="A9" s="4" t="s">
        <v>9</v>
      </c>
      <c r="B9" s="5" t="s">
        <v>7</v>
      </c>
      <c r="C9" s="5">
        <v>30</v>
      </c>
      <c r="E9" s="10">
        <v>1</v>
      </c>
      <c r="F9" s="11">
        <f t="shared" si="0"/>
        <v>0.3</v>
      </c>
      <c r="I9" s="4" t="s">
        <v>10</v>
      </c>
      <c r="J9" s="5" t="s">
        <v>11</v>
      </c>
      <c r="K9" s="5">
        <v>20</v>
      </c>
    </row>
    <row r="10" spans="1:11" ht="40.200000000000003" thickBot="1" x14ac:dyDescent="0.3">
      <c r="A10" s="4" t="s">
        <v>10</v>
      </c>
      <c r="B10" s="5" t="s">
        <v>11</v>
      </c>
      <c r="C10" s="5">
        <v>20</v>
      </c>
      <c r="E10" s="10">
        <v>5</v>
      </c>
      <c r="F10" s="11">
        <f t="shared" si="0"/>
        <v>1</v>
      </c>
      <c r="I10" s="4" t="s">
        <v>12</v>
      </c>
      <c r="J10" s="5" t="s">
        <v>7</v>
      </c>
      <c r="K10" s="5">
        <v>30</v>
      </c>
    </row>
    <row r="11" spans="1:11" ht="32.549999999999997" customHeight="1" thickBot="1" x14ac:dyDescent="0.3">
      <c r="A11" s="4" t="s">
        <v>12</v>
      </c>
      <c r="B11" s="5" t="s">
        <v>7</v>
      </c>
      <c r="C11" s="5">
        <v>30</v>
      </c>
      <c r="E11" s="10">
        <v>3</v>
      </c>
      <c r="F11" s="11">
        <f t="shared" si="0"/>
        <v>0.9</v>
      </c>
      <c r="I11" s="9"/>
      <c r="J11" s="9"/>
      <c r="K11" s="9"/>
    </row>
    <row r="12" spans="1:11" ht="9" customHeight="1" thickBot="1" x14ac:dyDescent="0.3">
      <c r="A12" s="9"/>
      <c r="B12" s="9"/>
      <c r="C12" s="9"/>
    </row>
    <row r="13" spans="1:11" ht="13.8" thickBot="1" x14ac:dyDescent="0.3">
      <c r="A13" s="2" t="s">
        <v>30</v>
      </c>
      <c r="B13" s="2" t="s">
        <v>29</v>
      </c>
      <c r="E13" s="7" t="s">
        <v>21</v>
      </c>
      <c r="F13" s="8">
        <f>SUM(F7:F11)</f>
        <v>2.4</v>
      </c>
      <c r="I13" s="2" t="s">
        <v>31</v>
      </c>
    </row>
    <row r="14" spans="1:11" ht="13.8" thickBot="1" x14ac:dyDescent="0.3"/>
    <row r="15" spans="1:11" ht="13.8" thickBot="1" x14ac:dyDescent="0.3">
      <c r="A15" s="3" t="s">
        <v>20</v>
      </c>
      <c r="B15" s="6" t="s">
        <v>14</v>
      </c>
      <c r="F15" s="12" t="str">
        <f>+IF(E6="NO",IF(F13&lt;2.01,"BAJO",IF(F13&lt;3.01,"MEDIO","ALTO")),"ALTO")</f>
        <v>MEDIO</v>
      </c>
    </row>
    <row r="16" spans="1:11" ht="13.8" thickBot="1" x14ac:dyDescent="0.3">
      <c r="A16" s="4" t="s">
        <v>0</v>
      </c>
      <c r="B16" s="5" t="s">
        <v>15</v>
      </c>
    </row>
    <row r="17" spans="1:2" ht="13.8" thickBot="1" x14ac:dyDescent="0.3">
      <c r="A17" s="4" t="s">
        <v>1</v>
      </c>
      <c r="B17" s="5" t="s">
        <v>16</v>
      </c>
    </row>
    <row r="18" spans="1:2" ht="13.8" thickBot="1" x14ac:dyDescent="0.3">
      <c r="A18" s="4" t="s">
        <v>2</v>
      </c>
      <c r="B18" s="5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Adrián</dc:creator>
  <cp:lastModifiedBy>GIRALT CHIARA</cp:lastModifiedBy>
  <dcterms:created xsi:type="dcterms:W3CDTF">2015-06-05T18:19:34Z</dcterms:created>
  <dcterms:modified xsi:type="dcterms:W3CDTF">2026-04-15T17:46:15Z</dcterms:modified>
</cp:coreProperties>
</file>